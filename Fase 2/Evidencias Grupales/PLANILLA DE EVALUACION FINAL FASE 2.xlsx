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2\"/>
    </mc:Choice>
  </mc:AlternateContent>
  <bookViews>
    <workbookView xWindow="0" yWindow="0" windowWidth="28800" windowHeight="1231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<sst xmlns="http://schemas.openxmlformats.org/spreadsheetml/2006/main" count="137" uniqueCount="78">
  <si>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</si>
  <si>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</si>
  <si>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</si>
  <si>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</si>
  <si>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</si>
  <si>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</si>
  <si>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</si>
  <si>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</si>
  <si>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</si>
  <si>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</si>
  <si>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</si>
  <si>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</si>
  <si>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</si>
  <si>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</si>
  <si>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</si>
  <si>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</si>
  <si>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</si>
  <si>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</si>
  <si>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</si>
  <si>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</si>
  <si>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</si>
  <si>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</si>
  <si>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</si>
  <si>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</si>
  <si>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</si>
  <si>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</si>
  <si>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</si>
  <si>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</si>
  <si>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</si>
  <si>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</si>
  <si>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</si>
  <si>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</si>
  <si>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</si>
  <si>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</si>
  <si>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</si>
  <si>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</si>
  <si>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</si>
  <si>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</si>
  <si>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</si>
  <si>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</si>
  <si>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</si>
  <si>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</si>
  <si>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</si>
  <si>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</si>
  <si>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</si>
  <si>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</si>
  <si>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</si>
  <si>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</si>
  <si>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</si>
  <si>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</si>
  <si>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</si>
  <si>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</si>
  <si>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</si>
  <si>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</si>
  <si>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</si>
  <si>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</si>
  <si>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</si>
  <si>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</si>
  <si>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</si>
  <si>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</si>
  <si>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</si>
  <si>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</si>
  <si>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</si>
  <si>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</si>
  <si>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</si>
  <si>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</si>
  <si>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</si>
  <si>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</si>
  <si>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</si>
  <si>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</si>
  <si>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</si>
  <si>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</si>
  <si>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</si>
  <si>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</si>
  <si>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</si>
  <si>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</si>
  <si>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Felipe Ignacio Monsalve Umanzor</t>
  </si>
  <si>
    <t>Irma Belen Beltran Contreras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</si>
</sst>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B1" zoomScale="120" zoomScaleNormal="120" workbookViewId="0">
      <selection activeCell="C41" sqref="C4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6.6</v>
      </c>
      <c r="D4" s="5">
        <f>$C$32</f>
        <v>4.9000000000000004</v>
      </c>
      <c r="E4" s="6">
        <f>C4*C$2+D4*D$2</f>
        <v>6.1749999999999989</v>
      </c>
      <c r="G4" s="1"/>
    </row>
    <row r="5" spans="1:11">
      <c r="A5" s="4">
        <v>2</v>
      </c>
      <c r="B5" s="27" t="s">
        <v>77</v>
      </c>
      <c r="C5" s="5">
        <f>EVALUACION1!$C$21</f>
        <v>6.6</v>
      </c>
      <c r="D5" s="5">
        <f>C44</f>
        <v>5.8</v>
      </c>
      <c r="E5" s="6">
        <f t="shared" ref="E5:E6" si="0">C5*C$2+D5*D$2</f>
        <v>6.3999999999999995</v>
      </c>
      <c r="G5" s="1"/>
    </row>
    <row r="6" spans="1:11">
      <c r="A6" s="4">
        <v>3</v>
      </c>
      <c r="B6" s="27"/>
      <c r="C6" s="5">
        <f>EVALUACION1!$C$21</f>
        <v>6.6</v>
      </c>
      <c r="D6" s="5">
        <f>C55</f>
        <v>7</v>
      </c>
      <c r="E6" s="6">
        <f t="shared" si="0"/>
        <v>6.6999999999999993</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64</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71</v>
      </c>
      <c r="D20" s="19"/>
      <c r="E20" s="19">
        <f>SUM(E13:E19)</f>
        <v>65</v>
      </c>
      <c r="F20" s="19"/>
      <c r="G20" s="19">
        <f>SUM(G13:G19)</f>
        <v>6</v>
      </c>
      <c r="H20" s="19"/>
      <c r="I20" s="19">
        <f>SUM(I13:I19)</f>
        <v>0</v>
      </c>
      <c r="J20" s="19"/>
      <c r="K20" s="19">
        <f>SUM(K13:K19)</f>
        <v>0</v>
      </c>
    </row>
    <row r="21" spans="1:11" ht="15.75" customHeight="1" outlineLevel="1">
      <c r="A21" s="54"/>
      <c r="B21" s="32" t="s">
        <v>67</v>
      </c>
      <c r="C21" s="20">
        <f>VLOOKUP(C20,ESCALA_IEP!A1:B152,2,FALSE)</f>
        <v>6.6</v>
      </c>
    </row>
    <row r="22" spans="1:11" ht="15.75" customHeight="1"/>
    <row r="23" spans="1:11" ht="15.75" customHeight="1"/>
    <row r="24" spans="1:11" ht="15.75" customHeight="1">
      <c r="A24" s="64" t="s">
        <v>59</v>
      </c>
      <c r="B24" s="53" t="s">
        <v>68</v>
      </c>
      <c r="C24" s="56" t="str">
        <f>$B$4</f>
        <v>Felipe Ignacio Monsalve Umanzor</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74</v>
      </c>
      <c r="D30" s="16" t="str">
        <f t="shared" si="7"/>
        <v/>
      </c>
      <c r="E30" s="16" t="str">
        <f>IF(D30="X",100*0.1,"")</f>
        <v/>
      </c>
      <c r="F30" s="16" t="str">
        <f t="shared" si="8"/>
        <v/>
      </c>
      <c r="G30" s="16" t="str">
        <f>IF(F30="X",60*0.1,"")</f>
        <v/>
      </c>
      <c r="H30" s="16" t="str">
        <f t="shared" si="9"/>
        <v>X</v>
      </c>
      <c r="I30" s="16">
        <f>IF(H30="X",30*0.1,"")</f>
        <v>3</v>
      </c>
      <c r="J30" s="16" t="str">
        <f t="shared" si="10"/>
        <v/>
      </c>
      <c r="K30" s="16" t="str">
        <f t="shared" si="11"/>
        <v/>
      </c>
    </row>
    <row r="31" spans="1:11" ht="15.75" customHeight="1">
      <c r="A31" s="65"/>
      <c r="B31" s="21" t="s">
        <v>70</v>
      </c>
      <c r="C31" s="18">
        <f>E31+G31+I31+K31</f>
        <v>18</v>
      </c>
      <c r="D31" s="19"/>
      <c r="E31" s="19">
        <f>SUM(E28:E30)</f>
        <v>15</v>
      </c>
      <c r="F31" s="19"/>
      <c r="G31" s="19">
        <f>SUM(G28:G30)</f>
        <v>0</v>
      </c>
      <c r="H31" s="19"/>
      <c r="I31" s="19">
        <f>SUM(I28:I30)</f>
        <v>3</v>
      </c>
      <c r="J31" s="19"/>
      <c r="K31" s="19">
        <f>SUM(K29:K30)</f>
        <v>0</v>
      </c>
    </row>
    <row r="32" spans="1:11" ht="15.75" customHeight="1">
      <c r="A32" s="54"/>
      <c r="B32" s="17" t="s">
        <v>67</v>
      </c>
      <c r="C32" s="20">
        <f>VLOOKUP(C31,ESCALA_TRAB_EQUIP!A1:B52,2,FALSE)</f>
        <v>4.9000000000000004</v>
      </c>
    </row>
    <row r="33" spans="1:11" ht="15.75" customHeight="1">
      <c r="B33" s="22"/>
      <c r="C33" s="23"/>
    </row>
    <row r="34" spans="1:11" ht="15.75" customHeight="1">
      <c r="B34" s="22"/>
      <c r="C34" s="23"/>
    </row>
    <row r="35" spans="1:11" ht="15.75" customHeight="1"/>
    <row r="36" spans="1:11" ht="15.75" customHeight="1">
      <c r="A36" s="64" t="s">
        <v>59</v>
      </c>
      <c r="B36" s="53" t="s">
        <v>68</v>
      </c>
      <c r="C36" s="56" t="str">
        <f>B5</f>
        <v>Irma Belen Beltran Contreras</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64</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2026-10-26T18:55:47Z</dcterms:modified>
  <cp:category/>
  <cp:contentStatus/>
</cp:coreProperties>
</file>