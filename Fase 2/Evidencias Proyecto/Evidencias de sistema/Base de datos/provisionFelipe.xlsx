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Pla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- MES</t>
        </is>
      </c>
      <c r="B1" t="inlineStr">
        <is>
          <t>VIN</t>
        </is>
      </c>
      <c r="C1" t="inlineStr">
        <is>
          <t>CLIENTE</t>
        </is>
      </c>
      <c r="D1" t="inlineStr">
        <is>
          <t>EJECUTIVO</t>
        </is>
      </c>
      <c r="E1" t="inlineStr">
        <is>
          <t>OBSERVACIONES</t>
        </is>
      </c>
      <c r="F1" t="inlineStr">
        <is>
          <t>DYNAFLEET</t>
        </is>
      </c>
      <c r="G1" t="inlineStr">
        <is>
          <t>Cantidad de Meses</t>
        </is>
      </c>
      <c r="H1" t="inlineStr">
        <is>
          <t>Plan</t>
        </is>
      </c>
      <c r="I1" t="inlineStr">
        <is>
          <t>Monto Provisionado</t>
        </is>
      </c>
      <c r="J1" t="inlineStr">
        <is>
          <t>Valor Plan</t>
        </is>
      </c>
      <c r="K1" t="inlineStr">
        <is>
          <t>VAR</t>
        </is>
      </c>
    </row>
    <row r="2">
      <c r="A2" t="inlineStr">
        <is>
          <t>2022 - Febrero</t>
        </is>
      </c>
      <c r="B2" t="inlineStr">
        <is>
          <t>YV2K20AD4SA435580</t>
        </is>
      </c>
      <c r="C2" t="inlineStr">
        <is>
          <t>TRANSPORTES JUAN PEREZ DEMO EIRL</t>
        </is>
      </c>
      <c r="D2" t="inlineStr">
        <is>
          <t>JUAN PRUEBA SOTO</t>
        </is>
      </c>
      <c r="E2" t="inlineStr">
        <is>
          <t>Venta camion plan 60 meses</t>
        </is>
      </c>
      <c r="F2" t="n">
        <v>1604850</v>
      </c>
      <c r="G2" t="n">
        <v>60</v>
      </c>
      <c r="H2" t="inlineStr">
        <is>
          <t>Full</t>
        </is>
      </c>
      <c r="I2" t="n">
        <v>26747.5</v>
      </c>
      <c r="J2" t="n">
        <v>28619.92</v>
      </c>
      <c r="K2" t="n">
        <v>-1872.419999999998</v>
      </c>
    </row>
    <row r="3">
      <c r="A3" t="inlineStr">
        <is>
          <t>2022 - Agosto</t>
        </is>
      </c>
      <c r="B3" t="inlineStr">
        <is>
          <t>YV2RT4ZD8SE182824</t>
        </is>
      </c>
      <c r="C3" t="inlineStr">
        <is>
          <t>CARGA MIXTA AUSTRAL DEMO SPA</t>
        </is>
      </c>
      <c r="D3" t="inlineStr">
        <is>
          <t>MARIA DEMO ROJAS</t>
        </is>
      </c>
      <c r="E3" t="inlineStr">
        <is>
          <t>Venta camion plan 36 meses</t>
        </is>
      </c>
      <c r="F3" t="n">
        <v>864861</v>
      </c>
      <c r="G3" t="n">
        <v>36</v>
      </c>
      <c r="H3" t="inlineStr">
        <is>
          <t>Medio</t>
        </is>
      </c>
      <c r="I3" t="n">
        <v>24023.91666666667</v>
      </c>
      <c r="J3" t="n">
        <v>23713.648</v>
      </c>
      <c r="K3" t="n">
        <v>310.2686666666705</v>
      </c>
    </row>
    <row r="4">
      <c r="A4" t="inlineStr">
        <is>
          <t>2023 - Octubre</t>
        </is>
      </c>
      <c r="B4" t="inlineStr">
        <is>
          <t>YV2K20AC1SE326693</t>
        </is>
      </c>
      <c r="C4" t="inlineStr">
        <is>
          <t>DISTRIBUIDORA PACIFICO SUR SPA</t>
        </is>
      </c>
      <c r="D4" t="inlineStr">
        <is>
          <t>ANDRES MUESTRA SILVA</t>
        </is>
      </c>
      <c r="E4" t="inlineStr">
        <is>
          <t>Venta camion plan 36 meses</t>
        </is>
      </c>
      <c r="F4" t="n">
        <v>856003</v>
      </c>
      <c r="G4" t="n">
        <v>36</v>
      </c>
      <c r="H4" t="inlineStr">
        <is>
          <t>Medio</t>
        </is>
      </c>
      <c r="I4" t="n">
        <v>23777.86111111111</v>
      </c>
      <c r="J4" t="n">
        <v>23713.648</v>
      </c>
      <c r="K4" t="n">
        <v>64.21311111111208</v>
      </c>
    </row>
    <row r="5">
      <c r="A5" t="inlineStr">
        <is>
          <t>2024 - Marzo</t>
        </is>
      </c>
      <c r="B5" t="inlineStr">
        <is>
          <t>9BVK20AC3SE581577</t>
        </is>
      </c>
      <c r="C5" t="inlineStr">
        <is>
          <t>TRANSPORTES RIO MAULE DEMO LTDA</t>
        </is>
      </c>
      <c r="D5" t="inlineStr">
        <is>
          <t>MARIA DEMO ROJAS</t>
        </is>
      </c>
      <c r="E5" t="inlineStr">
        <is>
          <t>Venta camion plan 36 meses</t>
        </is>
      </c>
      <c r="F5" t="n">
        <v>432801</v>
      </c>
      <c r="G5" t="n">
        <v>36</v>
      </c>
      <c r="H5" t="inlineStr">
        <is>
          <t>Basico</t>
        </is>
      </c>
      <c r="I5" t="n">
        <v>12022.25</v>
      </c>
      <c r="J5" t="n">
        <v>11447.968</v>
      </c>
      <c r="K5" t="n">
        <v>574.2819999999992</v>
      </c>
    </row>
    <row r="6">
      <c r="A6" t="inlineStr">
        <is>
          <t>2024 - Abril</t>
        </is>
      </c>
      <c r="B6" t="inlineStr">
        <is>
          <t>9BVRB40B5RA380924</t>
        </is>
      </c>
      <c r="C6" t="inlineStr">
        <is>
          <t>FORESTAL ARAUCANIA FICTICIA S.A.</t>
        </is>
      </c>
      <c r="D6" t="inlineStr">
        <is>
          <t>ANDRES MUESTRA SILVA</t>
        </is>
      </c>
      <c r="E6" t="inlineStr">
        <is>
          <t>Venta camion plan 36 meses</t>
        </is>
      </c>
      <c r="F6" t="n">
        <v>1011574</v>
      </c>
      <c r="G6" t="n">
        <v>36</v>
      </c>
      <c r="H6" t="inlineStr">
        <is>
          <t>Medio + CIV</t>
        </is>
      </c>
      <c r="I6" t="n">
        <v>28099.27777777778</v>
      </c>
      <c r="J6" t="n">
        <v>29846.488</v>
      </c>
      <c r="K6" t="n">
        <v>-1747.21022222222</v>
      </c>
    </row>
    <row r="7">
      <c r="A7" t="inlineStr">
        <is>
          <t>2024 - Julio</t>
        </is>
      </c>
      <c r="B7" t="inlineStr">
        <is>
          <t>YV2RT4ZD4SA464693</t>
        </is>
      </c>
      <c r="C7" t="inlineStr">
        <is>
          <t>SERVICIOS VIALES ANDINOS DEMO SPA</t>
        </is>
      </c>
      <c r="D7" t="inlineStr">
        <is>
          <t>CLAUDIA TEST FUENTES</t>
        </is>
      </c>
      <c r="E7" t="inlineStr">
        <is>
          <t>Venta camion plan 24 meses</t>
        </is>
      </c>
      <c r="F7" t="n">
        <v>848978</v>
      </c>
      <c r="G7" t="n">
        <v>24</v>
      </c>
      <c r="H7" t="inlineStr">
        <is>
          <t>Full + CIV</t>
        </is>
      </c>
      <c r="I7" t="n">
        <v>35374.08333333334</v>
      </c>
      <c r="J7" t="n">
        <v>34752.75999999999</v>
      </c>
      <c r="K7" t="n">
        <v>621.323333333341</v>
      </c>
    </row>
    <row r="8">
      <c r="A8" t="inlineStr">
        <is>
          <t>2024 - Julio</t>
        </is>
      </c>
      <c r="B8" t="inlineStr">
        <is>
          <t>9BVRB40C5SE367753</t>
        </is>
      </c>
      <c r="C8" t="inlineStr">
        <is>
          <t>SERVICIOS VIALES ANDINOS DEMO SPA</t>
        </is>
      </c>
      <c r="D8" t="inlineStr">
        <is>
          <t>CLAUDIA TEST FUENTES</t>
        </is>
      </c>
      <c r="E8" t="inlineStr">
        <is>
          <t>Venta camion plan 12 meses</t>
        </is>
      </c>
      <c r="F8" t="n">
        <v>306756</v>
      </c>
      <c r="G8" t="n">
        <v>12</v>
      </c>
      <c r="H8" t="inlineStr">
        <is>
          <t>Medio</t>
        </is>
      </c>
      <c r="I8" t="n">
        <v>25563</v>
      </c>
      <c r="J8" t="n">
        <v>23713.648</v>
      </c>
      <c r="K8" t="n">
        <v>1849.352000000003</v>
      </c>
    </row>
    <row r="9">
      <c r="A9" t="inlineStr">
        <is>
          <t>2024 - Agosto</t>
        </is>
      </c>
      <c r="B9" t="inlineStr">
        <is>
          <t>9BVRT4ZC4TA485395</t>
        </is>
      </c>
      <c r="C9" t="inlineStr">
        <is>
          <t>CONSTRUCTORA VALLE CENTRAL DEMO SPA</t>
        </is>
      </c>
      <c r="D9" t="inlineStr">
        <is>
          <t>PAULA EJEMPLO MUÑOZ</t>
        </is>
      </c>
      <c r="E9" t="inlineStr">
        <is>
          <t>Venta camion plan 36 meses</t>
        </is>
      </c>
      <c r="F9" t="n">
        <v>812161</v>
      </c>
      <c r="G9" t="n">
        <v>36</v>
      </c>
      <c r="H9" t="inlineStr">
        <is>
          <t>Medio</t>
        </is>
      </c>
      <c r="I9" t="n">
        <v>22560.02777777778</v>
      </c>
      <c r="J9" t="n">
        <v>23713.648</v>
      </c>
      <c r="K9" t="n">
        <v>-1153.62022222222</v>
      </c>
    </row>
    <row r="10">
      <c r="A10" t="inlineStr">
        <is>
          <t>2024 - Diciembre</t>
        </is>
      </c>
      <c r="B10" t="inlineStr">
        <is>
          <t>YV2TE2AC7PE612999</t>
        </is>
      </c>
      <c r="C10" t="inlineStr">
        <is>
          <t>MINERIA CERRO BLANCO DEMO SPA</t>
        </is>
      </c>
      <c r="D10" t="inlineStr">
        <is>
          <t>JUAN PRUEBA SOTO</t>
        </is>
      </c>
      <c r="E10" t="inlineStr">
        <is>
          <t>Venta camion plan 48 meses</t>
        </is>
      </c>
      <c r="F10" t="n">
        <v>1489786</v>
      </c>
      <c r="G10" t="n">
        <v>48</v>
      </c>
      <c r="H10" t="inlineStr">
        <is>
          <t>Medio + CIV</t>
        </is>
      </c>
      <c r="I10" t="n">
        <v>31037.20833333333</v>
      </c>
      <c r="J10" t="n">
        <v>29846.488</v>
      </c>
      <c r="K10" t="n">
        <v>1190.720333333335</v>
      </c>
    </row>
    <row r="11">
      <c r="A11" t="inlineStr">
        <is>
          <t>2025 - Febrero</t>
        </is>
      </c>
      <c r="B11" t="inlineStr">
        <is>
          <t>YV2RT4ZC1TA213304</t>
        </is>
      </c>
      <c r="C11" t="inlineStr">
        <is>
          <t>ALIMENTOS DIARIOS DEMO LTDA</t>
        </is>
      </c>
      <c r="D11" t="inlineStr">
        <is>
          <t>CLAUDIA TEST FUENTES</t>
        </is>
      </c>
      <c r="E11" t="inlineStr">
        <is>
          <t>Venta camion plan 12 meses</t>
        </is>
      </c>
      <c r="F11" t="n">
        <v>264372</v>
      </c>
      <c r="G11" t="n">
        <v>12</v>
      </c>
      <c r="H11" t="inlineStr">
        <is>
          <t>Medio</t>
        </is>
      </c>
      <c r="I11" t="n">
        <v>22031</v>
      </c>
      <c r="J11" t="n">
        <v>23713.648</v>
      </c>
      <c r="K11" t="n">
        <v>-1682.647999999997</v>
      </c>
    </row>
    <row r="12">
      <c r="A12" t="inlineStr">
        <is>
          <t>2025 - Marzo</t>
        </is>
      </c>
      <c r="B12" t="inlineStr">
        <is>
          <t>YV2XT4ZB7RE895685</t>
        </is>
      </c>
      <c r="C12" t="inlineStr">
        <is>
          <t>TRANSPORTES PATAGONIA DEMO S.A.</t>
        </is>
      </c>
      <c r="D12" t="inlineStr">
        <is>
          <t>PAULA EJEMPLO MUÑOZ</t>
        </is>
      </c>
      <c r="E12" t="inlineStr">
        <is>
          <t>Venta camion plan 24 meses</t>
        </is>
      </c>
      <c r="F12" t="n">
        <v>752345</v>
      </c>
      <c r="G12" t="n">
        <v>24</v>
      </c>
      <c r="H12" t="inlineStr">
        <is>
          <t>Medio + CIV</t>
        </is>
      </c>
      <c r="I12" t="n">
        <v>31347.70833333333</v>
      </c>
      <c r="J12" t="n">
        <v>29846.488</v>
      </c>
      <c r="K12" t="n">
        <v>1501.220333333335</v>
      </c>
    </row>
    <row r="13">
      <c r="A13" t="inlineStr">
        <is>
          <t>2025 - Agosto</t>
        </is>
      </c>
      <c r="B13" t="inlineStr">
        <is>
          <t>9BVXT4ZB5TE992685</t>
        </is>
      </c>
      <c r="C13" t="inlineStr">
        <is>
          <t>TRANSPORTES CORDILLERA DEMO SPA</t>
        </is>
      </c>
      <c r="D13" t="inlineStr">
        <is>
          <t>ANDRES MUESTRA SILVA</t>
        </is>
      </c>
      <c r="E13" t="inlineStr">
        <is>
          <t>Venta camion plan 12 meses</t>
        </is>
      </c>
      <c r="F13" t="n">
        <v>273891</v>
      </c>
      <c r="G13" t="n">
        <v>12</v>
      </c>
      <c r="H13" t="inlineStr">
        <is>
          <t>Medio</t>
        </is>
      </c>
      <c r="I13" t="n">
        <v>22824.25</v>
      </c>
      <c r="J13" t="n">
        <v>23713.648</v>
      </c>
      <c r="K13" t="n">
        <v>-889.3979999999974</v>
      </c>
    </row>
    <row r="14">
      <c r="A14" t="inlineStr">
        <is>
          <t>2025 - Septiembre</t>
        </is>
      </c>
      <c r="B14" t="inlineStr">
        <is>
          <t>YV2RB40A8RE700445</t>
        </is>
      </c>
      <c r="C14" t="inlineStr">
        <is>
          <t>CONSTRUCTORA VALLE CENTRAL DEMO SPA</t>
        </is>
      </c>
      <c r="D14" t="inlineStr">
        <is>
          <t>PAULA EJEMPLO MUÑOZ</t>
        </is>
      </c>
      <c r="E14" t="inlineStr">
        <is>
          <t>Venta camion plan 24 meses</t>
        </is>
      </c>
      <c r="F14" t="n">
        <v>821616</v>
      </c>
      <c r="G14" t="n">
        <v>24</v>
      </c>
      <c r="H14" t="inlineStr">
        <is>
          <t>Full + CIV</t>
        </is>
      </c>
      <c r="I14" t="n">
        <v>34234</v>
      </c>
      <c r="J14" t="n">
        <v>34752.75999999999</v>
      </c>
      <c r="K14" t="n">
        <v>-518.7599999999948</v>
      </c>
    </row>
    <row r="15">
      <c r="A15" t="inlineStr">
        <is>
          <t>2025 - Septiembre</t>
        </is>
      </c>
      <c r="B15" t="inlineStr">
        <is>
          <t>9BVRT4ZD2SE782492</t>
        </is>
      </c>
      <c r="C15" t="inlineStr">
        <is>
          <t>TRANSPORTES COSTA NORTE DEMO LTDA</t>
        </is>
      </c>
      <c r="D15" t="inlineStr">
        <is>
          <t>PAULA EJEMPLO MUÑOZ</t>
        </is>
      </c>
      <c r="E15" t="inlineStr">
        <is>
          <t>Venta camion plan 36 meses</t>
        </is>
      </c>
      <c r="F15" t="n">
        <v>883870</v>
      </c>
      <c r="G15" t="n">
        <v>36</v>
      </c>
      <c r="H15" t="inlineStr">
        <is>
          <t>Medio</t>
        </is>
      </c>
      <c r="I15" t="n">
        <v>24551.94444444445</v>
      </c>
      <c r="J15" t="n">
        <v>23713.648</v>
      </c>
      <c r="K15" t="n">
        <v>838.2964444444478</v>
      </c>
    </row>
    <row r="16">
      <c r="A16" t="inlineStr">
        <is>
          <t>2025 - Octubre</t>
        </is>
      </c>
      <c r="B16" t="inlineStr">
        <is>
          <t>YV2XG6ZD0SE934002</t>
        </is>
      </c>
      <c r="C16" t="inlineStr">
        <is>
          <t>MUNICIPALIDAD FICTICIA DE VILLA DEMO</t>
        </is>
      </c>
      <c r="D16" t="inlineStr">
        <is>
          <t>CLAUDIA TEST FUENTES</t>
        </is>
      </c>
      <c r="E16" t="inlineStr">
        <is>
          <t>Venta camion plan 48 meses</t>
        </is>
      </c>
      <c r="F16" t="n">
        <v>1167244</v>
      </c>
      <c r="G16" t="n">
        <v>48</v>
      </c>
      <c r="H16" t="inlineStr">
        <is>
          <t>Medio</t>
        </is>
      </c>
      <c r="I16" t="n">
        <v>24317.58333333333</v>
      </c>
      <c r="J16" t="n">
        <v>23713.648</v>
      </c>
      <c r="K16" t="n">
        <v>603.9353333333347</v>
      </c>
    </row>
    <row r="17">
      <c r="A17" t="inlineStr">
        <is>
          <t>2025 - Octubre</t>
        </is>
      </c>
      <c r="B17" t="inlineStr">
        <is>
          <t>9BVRB40D5PE811146</t>
        </is>
      </c>
      <c r="C17" t="inlineStr">
        <is>
          <t>FORESTAL ARAUCANIA FICTICIA S.A.</t>
        </is>
      </c>
      <c r="D17" t="inlineStr">
        <is>
          <t>ANDRES MUESTRA SILVA</t>
        </is>
      </c>
      <c r="E17" t="inlineStr">
        <is>
          <t>Venta camion plan 24 meses</t>
        </is>
      </c>
      <c r="F17" t="n">
        <v>771455</v>
      </c>
      <c r="G17" t="n">
        <v>24</v>
      </c>
      <c r="H17" t="inlineStr">
        <is>
          <t>Medio + CIV</t>
        </is>
      </c>
      <c r="I17" t="n">
        <v>32143.95833333333</v>
      </c>
      <c r="J17" t="n">
        <v>29846.488</v>
      </c>
      <c r="K17" t="n">
        <v>2297.470333333335</v>
      </c>
    </row>
    <row r="18">
      <c r="A18" t="inlineStr">
        <is>
          <t>2026 - Enero</t>
        </is>
      </c>
      <c r="B18" t="inlineStr">
        <is>
          <t>YV2RB40B2TE672596</t>
        </is>
      </c>
      <c r="C18" t="inlineStr">
        <is>
          <t>COMBUSTIBLES DEL NORTE DEMO S.A.</t>
        </is>
      </c>
      <c r="D18" t="inlineStr">
        <is>
          <t>ANDRES MUESTRA SILVA</t>
        </is>
      </c>
      <c r="E18" t="inlineStr">
        <is>
          <t>Venta camion plan 12 meses</t>
        </is>
      </c>
      <c r="F18" t="n">
        <v>360956</v>
      </c>
      <c r="G18" t="n">
        <v>12</v>
      </c>
      <c r="H18" t="inlineStr">
        <is>
          <t>Medio + CIV</t>
        </is>
      </c>
      <c r="I18" t="n">
        <v>30079.66666666667</v>
      </c>
      <c r="J18" t="n">
        <v>29846.488</v>
      </c>
      <c r="K18" t="n">
        <v>233.1786666666703</v>
      </c>
    </row>
    <row r="19">
      <c r="A19" t="inlineStr">
        <is>
          <t>2026 - Enero</t>
        </is>
      </c>
      <c r="B19" t="inlineStr">
        <is>
          <t>YV2RT4ZA0SE959472</t>
        </is>
      </c>
      <c r="C19" t="inlineStr">
        <is>
          <t>TRANSPORTES JUAN PEREZ DEMO EIRL</t>
        </is>
      </c>
      <c r="D19" t="inlineStr">
        <is>
          <t>JUAN PRUEBA SOTO</t>
        </is>
      </c>
      <c r="E19" t="inlineStr">
        <is>
          <t>Venta camion plan 12 meses</t>
        </is>
      </c>
      <c r="F19" t="n">
        <v>344762</v>
      </c>
      <c r="G19" t="n">
        <v>12</v>
      </c>
      <c r="H19" t="inlineStr">
        <is>
          <t>Medio + CIV</t>
        </is>
      </c>
      <c r="I19" t="n">
        <v>28730.16666666667</v>
      </c>
      <c r="J19" t="n">
        <v>29846.488</v>
      </c>
      <c r="K19" t="n">
        <v>-1116.32133333333</v>
      </c>
    </row>
    <row r="20">
      <c r="A20" t="inlineStr">
        <is>
          <t>2026 - Febrero</t>
        </is>
      </c>
      <c r="B20" t="inlineStr">
        <is>
          <t>YV2TE2AC8TA738955</t>
        </is>
      </c>
      <c r="C20" t="inlineStr">
        <is>
          <t>FORESTAL ARAUCANIA FICTICIA S.A.</t>
        </is>
      </c>
      <c r="D20" t="inlineStr">
        <is>
          <t>ANDRES MUESTRA SILVA</t>
        </is>
      </c>
      <c r="E20" t="inlineStr">
        <is>
          <t>Venta camion plan 24 meses</t>
        </is>
      </c>
      <c r="F20" t="n">
        <v>538262</v>
      </c>
      <c r="G20" t="n">
        <v>24</v>
      </c>
      <c r="H20" t="inlineStr">
        <is>
          <t>Medio</t>
        </is>
      </c>
      <c r="I20" t="n">
        <v>22427.58333333333</v>
      </c>
      <c r="J20" t="n">
        <v>23713.648</v>
      </c>
      <c r="K20" t="n">
        <v>-1286.064666666665</v>
      </c>
    </row>
    <row r="21">
      <c r="A21" t="inlineStr">
        <is>
          <t>2026 - Abril</t>
        </is>
      </c>
      <c r="B21" t="inlineStr">
        <is>
          <t>YV2RT4ZD6SA857051</t>
        </is>
      </c>
      <c r="C21" t="inlineStr">
        <is>
          <t>TRANSPORTES PATAGONIA DEMO S.A.</t>
        </is>
      </c>
      <c r="D21" t="inlineStr">
        <is>
          <t>PAULA EJEMPLO MUÑOZ</t>
        </is>
      </c>
      <c r="E21" t="inlineStr">
        <is>
          <t>Venta camion plan 12 meses</t>
        </is>
      </c>
      <c r="F21" t="n">
        <v>416922</v>
      </c>
      <c r="G21" t="n">
        <v>12</v>
      </c>
      <c r="H21" t="inlineStr">
        <is>
          <t>Full + CIV</t>
        </is>
      </c>
      <c r="I21" t="n">
        <v>34743.5</v>
      </c>
      <c r="J21" t="n">
        <v>34752.75999999999</v>
      </c>
      <c r="K21" t="n">
        <v>-9.259999999994761</v>
      </c>
    </row>
    <row r="22">
      <c r="A22" t="inlineStr">
        <is>
          <t>2026 - Abril</t>
        </is>
      </c>
      <c r="B22" t="inlineStr">
        <is>
          <t>YV2XT4ZA1TE378191</t>
        </is>
      </c>
      <c r="C22" t="inlineStr">
        <is>
          <t>ARIDOS Y CONSTRUCCION DEMO SPA</t>
        </is>
      </c>
      <c r="D22" t="inlineStr">
        <is>
          <t>CLAUDIA TEST FUENTES</t>
        </is>
      </c>
      <c r="E22" t="inlineStr">
        <is>
          <t>Venta camion plan 12 meses</t>
        </is>
      </c>
      <c r="F22" t="n">
        <v>375799</v>
      </c>
      <c r="G22" t="n">
        <v>12</v>
      </c>
      <c r="H22" t="inlineStr">
        <is>
          <t>Medio + CIV</t>
        </is>
      </c>
      <c r="I22" t="n">
        <v>31316.58333333333</v>
      </c>
      <c r="J22" t="n">
        <v>29846.488</v>
      </c>
      <c r="K22" t="n">
        <v>1470.095333333335</v>
      </c>
    </row>
    <row r="23">
      <c r="A23" t="inlineStr">
        <is>
          <t>2026 - Mayo</t>
        </is>
      </c>
      <c r="B23" t="inlineStr">
        <is>
          <t>9BVRT4ZC8SE143608</t>
        </is>
      </c>
      <c r="C23" t="inlineStr">
        <is>
          <t>FORESTAL LOS ROBLES DEMO LTDA</t>
        </is>
      </c>
      <c r="D23" t="inlineStr">
        <is>
          <t>CLAUDIA TEST FUENTES</t>
        </is>
      </c>
      <c r="E23" t="inlineStr">
        <is>
          <t>Venta camion plan 12 meses</t>
        </is>
      </c>
      <c r="F23" t="n">
        <v>262474</v>
      </c>
      <c r="G23" t="n">
        <v>12</v>
      </c>
      <c r="H23" t="inlineStr">
        <is>
          <t>Medio</t>
        </is>
      </c>
      <c r="I23" t="n">
        <v>21872.83333333333</v>
      </c>
      <c r="J23" t="n">
        <v>23713.648</v>
      </c>
      <c r="K23" t="n">
        <v>-1840.814666666665</v>
      </c>
    </row>
    <row r="24">
      <c r="A24" t="inlineStr">
        <is>
          <t>2026 - Agosto</t>
        </is>
      </c>
      <c r="B24" t="inlineStr">
        <is>
          <t>YV2RT4ZA5RA280482</t>
        </is>
      </c>
      <c r="C24" t="inlineStr">
        <is>
          <t>TRANSPORTES JUAN PEREZ DEMO EIRL</t>
        </is>
      </c>
      <c r="D24" t="inlineStr">
        <is>
          <t>JUAN PRUEBA SOTO</t>
        </is>
      </c>
      <c r="E24" t="inlineStr">
        <is>
          <t>Provision mensual</t>
        </is>
      </c>
      <c r="F24" t="n">
        <v>30948</v>
      </c>
      <c r="G24" t="n">
        <v>1</v>
      </c>
      <c r="H24" t="inlineStr">
        <is>
          <t>Medio + CIV</t>
        </is>
      </c>
      <c r="I24" t="n">
        <v>30948</v>
      </c>
      <c r="J24" t="n">
        <v>29846.488</v>
      </c>
      <c r="K24" t="n">
        <v>1101.512000000002</v>
      </c>
    </row>
    <row r="25">
      <c r="A25" t="inlineStr">
        <is>
          <t>2026 - Agosto</t>
        </is>
      </c>
      <c r="B25" t="inlineStr">
        <is>
          <t>YV2XT4ZA1TA276344</t>
        </is>
      </c>
      <c r="C25" t="inlineStr">
        <is>
          <t>CONSTRUCTORA VALLE CENTRAL DEMO SPA</t>
        </is>
      </c>
      <c r="D25" t="inlineStr">
        <is>
          <t>PAULA EJEMPLO MUÑOZ</t>
        </is>
      </c>
      <c r="E25" t="inlineStr">
        <is>
          <t>Provision mensual</t>
        </is>
      </c>
      <c r="F25" t="n">
        <v>22461</v>
      </c>
      <c r="G25" t="n">
        <v>1</v>
      </c>
      <c r="H25" t="inlineStr">
        <is>
          <t>Medio</t>
        </is>
      </c>
      <c r="I25" t="n">
        <v>22461</v>
      </c>
      <c r="J25" t="n">
        <v>23713.648</v>
      </c>
      <c r="K25" t="n">
        <v>-1252.647999999997</v>
      </c>
    </row>
    <row r="26">
      <c r="A26" t="inlineStr">
        <is>
          <t>2026 - Agosto</t>
        </is>
      </c>
      <c r="B26" t="inlineStr">
        <is>
          <t>9BVRT4ZD6PE891576</t>
        </is>
      </c>
      <c r="C26" t="inlineStr">
        <is>
          <t>FORESTAL ARAUCANIA FICTICIA S.A.</t>
        </is>
      </c>
      <c r="D26" t="inlineStr">
        <is>
          <t>ANDRES MUESTRA SILVA</t>
        </is>
      </c>
      <c r="E26" t="inlineStr">
        <is>
          <t>Provision mensual</t>
        </is>
      </c>
      <c r="F26" t="n">
        <v>27520</v>
      </c>
      <c r="G26" t="n">
        <v>1</v>
      </c>
      <c r="H26" t="inlineStr">
        <is>
          <t>Full</t>
        </is>
      </c>
      <c r="I26" t="n">
        <v>27520</v>
      </c>
      <c r="J26" t="n">
        <v>28619.92</v>
      </c>
      <c r="K26" t="n">
        <v>-1099.919999999998</v>
      </c>
    </row>
    <row r="27">
      <c r="A27" t="inlineStr">
        <is>
          <t>2026 - Agosto</t>
        </is>
      </c>
      <c r="B27" t="inlineStr">
        <is>
          <t>9BVRT4ZC5TA599724</t>
        </is>
      </c>
      <c r="C27" t="inlineStr">
        <is>
          <t>FORESTAL ARAUCANIA FICTICIA S.A.</t>
        </is>
      </c>
      <c r="D27" t="inlineStr">
        <is>
          <t>ANDRES MUESTRA SILVA</t>
        </is>
      </c>
      <c r="E27" t="inlineStr">
        <is>
          <t>Provision mensual</t>
        </is>
      </c>
      <c r="F27" t="n">
        <v>30723</v>
      </c>
      <c r="G27" t="n">
        <v>1</v>
      </c>
      <c r="H27" t="inlineStr">
        <is>
          <t>Medio + CIV</t>
        </is>
      </c>
      <c r="I27" t="n">
        <v>30723</v>
      </c>
      <c r="J27" t="n">
        <v>29846.488</v>
      </c>
      <c r="K27" t="n">
        <v>876.5120000000024</v>
      </c>
    </row>
    <row r="28">
      <c r="A28" t="inlineStr">
        <is>
          <t>2026 - Agosto</t>
        </is>
      </c>
      <c r="B28" t="inlineStr">
        <is>
          <t>YV2XT4ZD6TE839290</t>
        </is>
      </c>
      <c r="C28" t="inlineStr">
        <is>
          <t>LOGISTICA ATACAMA FICTICIA SPA</t>
        </is>
      </c>
      <c r="D28" t="inlineStr">
        <is>
          <t>CARLOS FICTICIO DIAZ</t>
        </is>
      </c>
      <c r="E28" t="inlineStr">
        <is>
          <t>Provision mensual</t>
        </is>
      </c>
      <c r="F28" t="n">
        <v>28415</v>
      </c>
      <c r="G28" t="n">
        <v>1</v>
      </c>
      <c r="H28" t="inlineStr">
        <is>
          <t>Full</t>
        </is>
      </c>
      <c r="I28" t="n">
        <v>28415</v>
      </c>
      <c r="J28" t="n">
        <v>28619.92</v>
      </c>
      <c r="K28" t="n">
        <v>-204.9199999999983</v>
      </c>
    </row>
    <row r="29">
      <c r="A29" t="inlineStr">
        <is>
          <t>2026 - Agosto</t>
        </is>
      </c>
      <c r="B29" t="inlineStr">
        <is>
          <t>9BVRB40B5RA593708</t>
        </is>
      </c>
      <c r="C29" t="inlineStr">
        <is>
          <t>INDUSTRIAS METALICAS DEMO LTDA</t>
        </is>
      </c>
      <c r="D29" t="inlineStr">
        <is>
          <t>MARIA DEMO ROJAS</t>
        </is>
      </c>
      <c r="E29" t="inlineStr">
        <is>
          <t>Provision mensual</t>
        </is>
      </c>
      <c r="F29" t="n">
        <v>24800</v>
      </c>
      <c r="G29" t="n">
        <v>1</v>
      </c>
      <c r="H29" t="inlineStr">
        <is>
          <t>Medio</t>
        </is>
      </c>
      <c r="I29" t="n">
        <v>24800</v>
      </c>
      <c r="J29" t="n">
        <v>23713.648</v>
      </c>
      <c r="K29" t="n">
        <v>1086.352000000003</v>
      </c>
    </row>
    <row r="30">
      <c r="A30" t="inlineStr">
        <is>
          <t>2026 - Agosto</t>
        </is>
      </c>
      <c r="B30" t="inlineStr">
        <is>
          <t>YV2TE2AB8RA543380</t>
        </is>
      </c>
      <c r="C30" t="inlineStr">
        <is>
          <t>CARGA MIXTA AUSTRAL DEMO SPA</t>
        </is>
      </c>
      <c r="D30" t="inlineStr">
        <is>
          <t>MARIA DEMO ROJAS</t>
        </is>
      </c>
      <c r="E30" t="inlineStr">
        <is>
          <t>Provision mensual</t>
        </is>
      </c>
      <c r="F30" t="n">
        <v>24912</v>
      </c>
      <c r="G30" t="n">
        <v>1</v>
      </c>
      <c r="H30" t="inlineStr">
        <is>
          <t>Medio</t>
        </is>
      </c>
      <c r="I30" t="n">
        <v>24912</v>
      </c>
      <c r="J30" t="n">
        <v>23713.648</v>
      </c>
      <c r="K30" t="n">
        <v>1198.352000000003</v>
      </c>
    </row>
    <row r="31">
      <c r="A31" t="inlineStr">
        <is>
          <t>2026 - Agosto</t>
        </is>
      </c>
      <c r="B31" t="inlineStr">
        <is>
          <t>YV2XT4ZA9PA653268</t>
        </is>
      </c>
      <c r="C31" t="inlineStr">
        <is>
          <t>SERVICIOS INDUSTRIALES BIOBIO DEMO SPA</t>
        </is>
      </c>
      <c r="D31" t="inlineStr">
        <is>
          <t>PAULA EJEMPLO MUÑOZ</t>
        </is>
      </c>
      <c r="E31" t="inlineStr">
        <is>
          <t>Provision mensual</t>
        </is>
      </c>
      <c r="F31" t="n">
        <v>29346</v>
      </c>
      <c r="G31" t="n">
        <v>1</v>
      </c>
      <c r="H31" t="inlineStr">
        <is>
          <t>Medio + CIV</t>
        </is>
      </c>
      <c r="I31" t="n">
        <v>29346</v>
      </c>
      <c r="J31" t="n">
        <v>29846.488</v>
      </c>
      <c r="K31" t="n">
        <v>-500.4879999999976</v>
      </c>
    </row>
    <row r="32">
      <c r="A32" t="inlineStr">
        <is>
          <t>2026 - Septiembre</t>
        </is>
      </c>
      <c r="B32" t="inlineStr">
        <is>
          <t>9BVRB40B5RA593708</t>
        </is>
      </c>
      <c r="C32" t="inlineStr">
        <is>
          <t>INDUSTRIAS METALICAS DEMO LTDA</t>
        </is>
      </c>
      <c r="D32" t="inlineStr">
        <is>
          <t>MARIA DEMO ROJAS</t>
        </is>
      </c>
      <c r="E32" t="inlineStr">
        <is>
          <t>Provision mensual</t>
        </is>
      </c>
      <c r="F32" t="n">
        <v>23783</v>
      </c>
      <c r="G32" t="n">
        <v>1</v>
      </c>
      <c r="H32" t="inlineStr">
        <is>
          <t>Medio</t>
        </is>
      </c>
      <c r="I32" t="n">
        <v>23783</v>
      </c>
      <c r="J32" t="n">
        <v>23713.648</v>
      </c>
      <c r="K32" t="n">
        <v>69.35200000000259</v>
      </c>
    </row>
    <row r="33">
      <c r="A33" t="inlineStr">
        <is>
          <t>2026 - Septiembre</t>
        </is>
      </c>
      <c r="B33" t="inlineStr">
        <is>
          <t>YV2XT4ZA1TA276344</t>
        </is>
      </c>
      <c r="C33" t="inlineStr">
        <is>
          <t>CONSTRUCTORA VALLE CENTRAL DEMO SPA</t>
        </is>
      </c>
      <c r="D33" t="inlineStr">
        <is>
          <t>PAULA EJEMPLO MUÑOZ</t>
        </is>
      </c>
      <c r="E33" t="inlineStr">
        <is>
          <t>Provision mensual</t>
        </is>
      </c>
      <c r="F33" t="n">
        <v>21911</v>
      </c>
      <c r="G33" t="n">
        <v>1</v>
      </c>
      <c r="H33" t="inlineStr">
        <is>
          <t>Medio</t>
        </is>
      </c>
      <c r="I33" t="n">
        <v>21911</v>
      </c>
      <c r="J33" t="n">
        <v>23713.648</v>
      </c>
      <c r="K33" t="n">
        <v>-1802.647999999997</v>
      </c>
    </row>
    <row r="34">
      <c r="A34" t="inlineStr">
        <is>
          <t>2026 - Septiembre</t>
        </is>
      </c>
      <c r="B34" t="inlineStr">
        <is>
          <t>YV2TE2AB8RA543380</t>
        </is>
      </c>
      <c r="C34" t="inlineStr">
        <is>
          <t>CARGA MIXTA AUSTRAL DEMO SPA</t>
        </is>
      </c>
      <c r="D34" t="inlineStr">
        <is>
          <t>MARIA DEMO ROJAS</t>
        </is>
      </c>
      <c r="E34" t="inlineStr">
        <is>
          <t>Provision mensual</t>
        </is>
      </c>
      <c r="F34" t="n">
        <v>22182</v>
      </c>
      <c r="G34" t="n">
        <v>1</v>
      </c>
      <c r="H34" t="inlineStr">
        <is>
          <t>Medio</t>
        </is>
      </c>
      <c r="I34" t="n">
        <v>22182</v>
      </c>
      <c r="J34" t="n">
        <v>23713.648</v>
      </c>
      <c r="K34" t="n">
        <v>-1531.647999999997</v>
      </c>
    </row>
    <row r="35">
      <c r="A35" t="inlineStr">
        <is>
          <t>2026 - Septiembre</t>
        </is>
      </c>
      <c r="B35" t="inlineStr">
        <is>
          <t>YV2XT4ZA9PA653268</t>
        </is>
      </c>
      <c r="C35" t="inlineStr">
        <is>
          <t>SERVICIOS INDUSTRIALES BIOBIO DEMO SPA</t>
        </is>
      </c>
      <c r="D35" t="inlineStr">
        <is>
          <t>PAULA EJEMPLO MUÑOZ</t>
        </is>
      </c>
      <c r="E35" t="inlineStr">
        <is>
          <t>Provision mensual</t>
        </is>
      </c>
      <c r="F35" t="n">
        <v>32076</v>
      </c>
      <c r="G35" t="n">
        <v>1</v>
      </c>
      <c r="H35" t="inlineStr">
        <is>
          <t>Medio + CIV</t>
        </is>
      </c>
      <c r="I35" t="n">
        <v>32076</v>
      </c>
      <c r="J35" t="n">
        <v>29846.488</v>
      </c>
      <c r="K35" t="n">
        <v>2229.512000000002</v>
      </c>
    </row>
    <row r="36">
      <c r="A36" t="inlineStr">
        <is>
          <t>2026 - Septiembre</t>
        </is>
      </c>
      <c r="B36" t="inlineStr">
        <is>
          <t>9BVRT4ZD6PE891576</t>
        </is>
      </c>
      <c r="C36" t="inlineStr">
        <is>
          <t>FORESTAL ARAUCANIA FICTICIA S.A.</t>
        </is>
      </c>
      <c r="D36" t="inlineStr">
        <is>
          <t>ANDRES MUESTRA SILVA</t>
        </is>
      </c>
      <c r="E36" t="inlineStr">
        <is>
          <t>Provision mensual</t>
        </is>
      </c>
      <c r="F36" t="n">
        <v>30470</v>
      </c>
      <c r="G36" t="n">
        <v>1</v>
      </c>
      <c r="H36" t="inlineStr">
        <is>
          <t>Full</t>
        </is>
      </c>
      <c r="I36" t="n">
        <v>30470</v>
      </c>
      <c r="J36" t="n">
        <v>28619.92</v>
      </c>
      <c r="K36" t="n">
        <v>1850.080000000002</v>
      </c>
    </row>
    <row r="37">
      <c r="A37" t="inlineStr">
        <is>
          <t>2026 - Septiembre</t>
        </is>
      </c>
      <c r="B37" t="inlineStr">
        <is>
          <t>YV2RT4ZA5RA280482</t>
        </is>
      </c>
      <c r="C37" t="inlineStr">
        <is>
          <t>TRANSPORTES JUAN PEREZ DEMO EIRL</t>
        </is>
      </c>
      <c r="D37" t="inlineStr">
        <is>
          <t>JUAN PRUEBA SOTO</t>
        </is>
      </c>
      <c r="E37" t="inlineStr">
        <is>
          <t>Provision mensual</t>
        </is>
      </c>
      <c r="F37" t="n">
        <v>30873</v>
      </c>
      <c r="G37" t="n">
        <v>1</v>
      </c>
      <c r="H37" t="inlineStr">
        <is>
          <t>Medio + CIV</t>
        </is>
      </c>
      <c r="I37" t="n">
        <v>30873</v>
      </c>
      <c r="J37" t="n">
        <v>29846.488</v>
      </c>
      <c r="K37" t="n">
        <v>1026.512000000002</v>
      </c>
    </row>
    <row r="38">
      <c r="A38" t="inlineStr">
        <is>
          <t>2026 - Septiembre</t>
        </is>
      </c>
      <c r="B38" t="inlineStr">
        <is>
          <t>9BVRT4ZC5TA599724</t>
        </is>
      </c>
      <c r="C38" t="inlineStr">
        <is>
          <t>FORESTAL ARAUCANIA FICTICIA S.A.</t>
        </is>
      </c>
      <c r="D38" t="inlineStr">
        <is>
          <t>ANDRES MUESTRA SILVA</t>
        </is>
      </c>
      <c r="E38" t="inlineStr">
        <is>
          <t>Provision mensual</t>
        </is>
      </c>
      <c r="F38" t="n">
        <v>30712</v>
      </c>
      <c r="G38" t="n">
        <v>1</v>
      </c>
      <c r="H38" t="inlineStr">
        <is>
          <t>Medio + CIV</t>
        </is>
      </c>
      <c r="I38" t="n">
        <v>30712</v>
      </c>
      <c r="J38" t="n">
        <v>29846.488</v>
      </c>
      <c r="K38" t="n">
        <v>865.5120000000024</v>
      </c>
    </row>
    <row r="39">
      <c r="A39" t="inlineStr">
        <is>
          <t>2026 - Septiembre</t>
        </is>
      </c>
      <c r="B39" t="inlineStr">
        <is>
          <t>YV2XT4ZD6TE839290</t>
        </is>
      </c>
      <c r="C39" t="inlineStr">
        <is>
          <t>LOGISTICA ATACAMA FICTICIA SPA</t>
        </is>
      </c>
      <c r="D39" t="inlineStr">
        <is>
          <t>CARLOS FICTICIO DIAZ</t>
        </is>
      </c>
      <c r="E39" t="inlineStr">
        <is>
          <t>Provision mensual</t>
        </is>
      </c>
      <c r="F39" t="n">
        <v>30840</v>
      </c>
      <c r="G39" t="n">
        <v>1</v>
      </c>
      <c r="H39" t="inlineStr">
        <is>
          <t>Full</t>
        </is>
      </c>
      <c r="I39" t="n">
        <v>30840</v>
      </c>
      <c r="J39" t="n">
        <v>28619.92</v>
      </c>
      <c r="K39" t="n">
        <v>2220.080000000002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Valor</t>
        </is>
      </c>
    </row>
    <row r="2">
      <c r="A2" t="inlineStr">
        <is>
          <t>UF</t>
        </is>
      </c>
      <c r="B2" t="n">
        <v>40885.6</v>
      </c>
    </row>
    <row r="3">
      <c r="A3" t="inlineStr">
        <is>
          <t>CIV</t>
        </is>
      </c>
      <c r="B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Multiplicador UF</t>
        </is>
      </c>
      <c r="C1" t="inlineStr">
        <is>
          <t>Precio</t>
        </is>
      </c>
    </row>
    <row r="2">
      <c r="A2" t="inlineStr">
        <is>
          <t>Basico</t>
        </is>
      </c>
      <c r="B2" t="n">
        <v>0.28</v>
      </c>
      <c r="C2">
        <f>+B2*Variables!$B$2</f>
        <v/>
      </c>
    </row>
    <row r="3">
      <c r="A3" t="inlineStr">
        <is>
          <t>Medio</t>
        </is>
      </c>
      <c r="B3" t="n">
        <v>0.58</v>
      </c>
      <c r="C3">
        <f>+B3*Variables!$B$2</f>
        <v/>
      </c>
    </row>
    <row r="4">
      <c r="A4" t="inlineStr">
        <is>
          <t>Full</t>
        </is>
      </c>
      <c r="B4" t="n">
        <v>0.7</v>
      </c>
      <c r="C4">
        <f>+B4*Variables!$B$2</f>
        <v/>
      </c>
    </row>
    <row r="5">
      <c r="A5" t="inlineStr">
        <is>
          <t>Full + CIV</t>
        </is>
      </c>
      <c r="B5">
        <f>+B4+Variables!B3</f>
        <v/>
      </c>
      <c r="C5">
        <f>+B5*Variables!$B$2</f>
        <v/>
      </c>
    </row>
    <row r="6">
      <c r="A6" t="inlineStr">
        <is>
          <t>Medio + CIV</t>
        </is>
      </c>
      <c r="B6">
        <f>+B3+Variables!B3</f>
        <v/>
      </c>
      <c r="C6">
        <f>+B6*Variables!$B$2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2026-09-26T17:24:16Z</dcterms:modified>
</cp:coreProperties>
</file>